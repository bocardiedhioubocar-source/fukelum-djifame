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 - Adresses" sheetId="1" state="visible" r:id="rId3"/>
    <sheet name="Mesures Homme" sheetId="2" state="visible" r:id="rId4"/>
    <sheet name="Mesures Fem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<sst xmlns="http://schemas.openxmlformats.org/spreadsheetml/2006/main" count="62" uniqueCount="46">
  <si>
    <t xml:space="preserve">FUKELUM DJIFAME</t>
  </si>
  <si>
    <t xml:space="preserve">Registre des clients — Adresses complètes</t>
  </si>
  <si>
    <t xml:space="preserve">ID Client</t>
  </si>
  <si>
    <t xml:space="preserve">Nom</t>
  </si>
  <si>
    <t xml:space="preserve">Prénom</t>
  </si>
  <si>
    <t xml:space="preserve">Téléphone</t>
  </si>
  <si>
    <t xml:space="preserve">Email</t>
  </si>
  <si>
    <t xml:space="preserve">Adresse (N° et rue)</t>
  </si>
  <si>
    <t xml:space="preserve">Complément d'adresse</t>
  </si>
  <si>
    <t xml:space="preserve">Ville</t>
  </si>
  <si>
    <t xml:space="preserve">Code Postal</t>
  </si>
  <si>
    <t xml:space="preserve">Région / Province</t>
  </si>
  <si>
    <t xml:space="preserve">Pays</t>
  </si>
  <si>
    <t xml:space="preserve">Date d'enregistrement</t>
  </si>
  <si>
    <t xml:space="preserve">Client VIP</t>
  </si>
  <si>
    <t xml:space="preserve">Notes</t>
  </si>
  <si>
    <t xml:space="preserve">Fiche de mesures — Homme</t>
  </si>
  <si>
    <t xml:space="preserve">Nom Client</t>
  </si>
  <si>
    <t xml:space="preserve">Date de prise</t>
  </si>
  <si>
    <t xml:space="preserve">Tour de cou (cm)</t>
  </si>
  <si>
    <t xml:space="preserve">Tour de poitrine (cm)</t>
  </si>
  <si>
    <t xml:space="preserve">Tour de taille (cm)</t>
  </si>
  <si>
    <t xml:space="preserve">Tour de bassin (cm)</t>
  </si>
  <si>
    <t xml:space="preserve">Carrure dos (cm)</t>
  </si>
  <si>
    <t xml:space="preserve">Longueur d'épaule (cm)</t>
  </si>
  <si>
    <t xml:space="preserve">Longueur de manche (cm)</t>
  </si>
  <si>
    <t xml:space="preserve">Tour de biceps (cm)</t>
  </si>
  <si>
    <t xml:space="preserve">Tour de poignet (cm)</t>
  </si>
  <si>
    <t xml:space="preserve">Longueur veste (cm)</t>
  </si>
  <si>
    <t xml:space="preserve">Longueur du dos - nuque à taille (cm)</t>
  </si>
  <si>
    <t xml:space="preserve">Longueur pantalon (cm)</t>
  </si>
  <si>
    <t xml:space="preserve">Tour de cuisse (cm)</t>
  </si>
  <si>
    <t xml:space="preserve">Tour de genou (cm)</t>
  </si>
  <si>
    <t xml:space="preserve">Tour de mollet (cm)</t>
  </si>
  <si>
    <t xml:space="preserve">Entrejambe (cm)</t>
  </si>
  <si>
    <t xml:space="preserve">Hauteur totale (cm)</t>
  </si>
  <si>
    <t xml:space="preserve">Fiche de mesures — Femme</t>
  </si>
  <si>
    <t xml:space="preserve">Tour sous poitrine (cm)</t>
  </si>
  <si>
    <t xml:space="preserve">Écart poitrine (cm)</t>
  </si>
  <si>
    <t xml:space="preserve">Hauteur poitrine (cm)</t>
  </si>
  <si>
    <t xml:space="preserve">Carrure devant (cm)</t>
  </si>
  <si>
    <t xml:space="preserve">Longueur taille dos - nuque à taille (cm)</t>
  </si>
  <si>
    <t xml:space="preserve">Tour de bras / biceps (cm)</t>
  </si>
  <si>
    <t xml:space="preserve">Longueur robe (cm)</t>
  </si>
  <si>
    <t xml:space="preserve">Longueur jupe (cm)</t>
  </si>
  <si>
    <t xml:space="preserve">Hauteur taille-genou (cm)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</si>
</sst>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Georgia"/>
      <family val="0"/>
      <charset val="1"/>
    </font>
    <font>
      <i val="true"/>
      <sz val="10"/>
      <color rgb="FFFBF8F2"/>
      <name val="Georgia"/>
      <family val="0"/>
      <charset val="1"/>
    </font>
    <font>
      <b val="true"/>
      <sz val="10"/>
      <color rgb="FFFFFFFF"/>
      <name val="Georgia"/>
      <family val="0"/>
      <charset val="1"/>
    </font>
    <font>
      <sz val="10"/>
      <color rgb="FF1A1A1A"/>
      <name val="Georg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FFF"/>
        <bgColor rgb="FFFBF8F2"/>
      </patternFill>
    </fill>
    <fill>
      <patternFill patternType="solid">
        <fgColor rgb="FFF2F0EC"/>
        <bgColor rgb="FFFBF8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08080"/>
      <rgbColor rgb="FF9999FF"/>
      <rgbColor rgb="FF993366"/>
      <rgbColor rgb="FFFBF8F2"/>
      <rgbColor rgb="FFF2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tr">
        <f aca="false">IF(B5="","","CL-"&amp;TEXT(1,"000"))</f>
        <v/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tr">
        <f aca="false">IF(B6="","","CL-"&amp;TEXT(2,"000"))</f>
        <v/>
      </c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4" t="str">
        <f aca="false">IF(B7="","","CL-"&amp;TEXT(3,"000"))</f>
        <v/>
      </c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6" t="str">
        <f aca="false">IF(B8="","","CL-"&amp;TEXT(4,"000"))</f>
        <v/>
      </c>
      <c r="B8" s="7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4" t="str">
        <f aca="false">IF(B9="","","CL-"&amp;TEXT(5,"000"))</f>
        <v/>
      </c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6" t="str">
        <f aca="false">IF(B10="","","CL-"&amp;TEXT(6,"000"))</f>
        <v/>
      </c>
      <c r="B10" s="7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4" t="str">
        <f aca="false">IF(B11="","","CL-"&amp;TEXT(7,"000"))</f>
        <v/>
      </c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6" t="str">
        <f aca="false">IF(B12="","","CL-"&amp;TEXT(8,"000"))</f>
        <v/>
      </c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4" t="str">
        <f aca="false">IF(B13="","","CL-"&amp;TEXT(9,"000"))</f>
        <v/>
      </c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6" t="str">
        <f aca="false">IF(B14="","","CL-"&amp;TEXT(10,"000"))</f>
        <v/>
      </c>
      <c r="B14" s="7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4" t="str">
        <f aca="false">IF(B15="","","CL-"&amp;TEXT(11,"000"))</f>
        <v/>
      </c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6" t="str">
        <f aca="false">IF(B16="","","CL-"&amp;TEXT(12,"000"))</f>
        <v/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4" t="str">
        <f aca="false">IF(B17="","","CL-"&amp;TEXT(13,"000"))</f>
        <v/>
      </c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6" t="str">
        <f aca="false">IF(B18="","","CL-"&amp;TEXT(14,"000"))</f>
        <v/>
      </c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4" t="str">
        <f aca="false">IF(B19="","","CL-"&amp;TEXT(15,"000"))</f>
        <v/>
      </c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6" t="str">
        <f aca="false">IF(B20="","","CL-"&amp;TEXT(16,"000"))</f>
        <v/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4" t="str">
        <f aca="false">IF(B21="","","CL-"&amp;TEXT(17,"000"))</f>
        <v/>
      </c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6" t="str">
        <f aca="false">IF(B22="","","CL-"&amp;TEXT(18,"000"))</f>
        <v/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4" t="str">
        <f aca="false">IF(B23="","","CL-"&amp;TEXT(19,"000"))</f>
        <v/>
      </c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6" t="str">
        <f aca="false">IF(B24="","","CL-"&amp;TEXT(20,"000"))</f>
        <v/>
      </c>
      <c r="B24" s="7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4" t="str">
        <f aca="false">IF(B25="","","CL-"&amp;TEXT(21,"000"))</f>
        <v/>
      </c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6" t="str">
        <f aca="false">IF(B26="","","CL-"&amp;TEXT(22,"000"))</f>
        <v/>
      </c>
      <c r="B26" s="7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4" t="str">
        <f aca="false">IF(B27="","","CL-"&amp;TEXT(23,"000"))</f>
        <v/>
      </c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6" t="str">
        <f aca="false">IF(B28="","","CL-"&amp;TEXT(24,"000"))</f>
        <v/>
      </c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4" t="str">
        <f aca="false">IF(B29="","","CL-"&amp;TEXT(25,"000"))</f>
        <v/>
      </c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6" t="str">
        <f aca="false">IF(B30="","","CL-"&amp;TEXT(26,"000"))</f>
        <v/>
      </c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4" t="str">
        <f aca="false">IF(B31="","","CL-"&amp;TEXT(27,"000"))</f>
        <v/>
      </c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6" t="str">
        <f aca="false">IF(B32="","","CL-"&amp;TEXT(28,"000"))</f>
        <v/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4" t="str">
        <f aca="false">IF(B33="","","CL-"&amp;TEXT(29,"000"))</f>
        <v/>
      </c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6" t="str">
        <f aca="false">IF(B34="","","CL-"&amp;TEXT(30,"000"))</f>
        <v/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A35" s="4" t="str">
        <f aca="false">IF(B35="","","CL-"&amp;TEXT(31,"000"))</f>
        <v/>
      </c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6" t="str">
        <f aca="false">IF(B36="","","CL-"&amp;TEXT(32,"000"))</f>
        <v/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customFormat="false" ht="15" hidden="false" customHeight="false" outlineLevel="0" collapsed="false">
      <c r="A37" s="4" t="str">
        <f aca="false">IF(B37="","","CL-"&amp;TEXT(33,"000"))</f>
        <v/>
      </c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6" t="str">
        <f aca="false">IF(B38="","","CL-"&amp;TEXT(34,"000"))</f>
        <v/>
      </c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customFormat="false" ht="15" hidden="false" customHeight="false" outlineLevel="0" collapsed="false">
      <c r="A39" s="4" t="str">
        <f aca="false">IF(B39="","","CL-"&amp;TEXT(35,"000"))</f>
        <v/>
      </c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6" t="str">
        <f aca="false">IF(B40="","","CL-"&amp;TEXT(36,"000"))</f>
        <v/>
      </c>
      <c r="B40" s="7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A41" s="4" t="str">
        <f aca="false">IF(B41="","","CL-"&amp;TEXT(37,"000"))</f>
        <v/>
      </c>
      <c r="B41" s="5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6" t="str">
        <f aca="false">IF(B42="","","CL-"&amp;TEXT(38,"000"))</f>
        <v/>
      </c>
      <c r="B42" s="7"/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customFormat="false" ht="15" hidden="false" customHeight="false" outlineLevel="0" collapsed="false">
      <c r="A43" s="4" t="str">
        <f aca="false">IF(B43="","","CL-"&amp;TEXT(39,"000"))</f>
        <v/>
      </c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6" t="str">
        <f aca="false">IF(B44="","","CL-"&amp;TEXT(40,"000"))</f>
        <v/>
      </c>
      <c r="B44" s="7"/>
      <c r="C44" s="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M5:M44" type="list">
      <formula1>"Oui,Non"</formula1>
      <formula2>0</formula2>
    </dataValidation>
    <dataValidation allowBlank="true" errorStyle="stop" operator="between" showDropDown="false" showErrorMessage="false" showInputMessage="false" sqref="K5:K44" type="list">
      <formula1>"Côte d'Ivoire,Sénégal,Mali,Bénin,Togo,Ghana,Nigeria,Cameroun,France,Autre"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20" min="4" style="0" width="14"/>
    <col collapsed="false" customWidth="true" hidden="false" outlineLevel="0" max="21" min="2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3.75" hidden="false" customHeight="true" outlineLevel="0" collapsed="false">
      <c r="A4" s="3" t="s">
        <v>2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  <c r="S4" s="3" t="s">
        <v>34</v>
      </c>
      <c r="T4" s="3" t="s">
        <v>35</v>
      </c>
      <c r="U4" s="3" t="s">
        <v>15</v>
      </c>
    </row>
    <row r="5" customFormat="false" ht="15" hidden="false" customHeight="false" outlineLevel="0" collapsed="false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5" hidden="false" customHeight="false" outlineLevel="0" collapsed="false">
      <c r="A6" s="6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customFormat="false" ht="15" hidden="false" customHeight="false" outlineLevel="0" collapsed="false">
      <c r="A7" s="4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customFormat="false" ht="15" hidden="false" customHeight="false" outlineLevel="0" collapsed="false">
      <c r="A8" s="6"/>
      <c r="B8" s="7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customFormat="false" ht="15" hidden="false" customHeight="false" outlineLevel="0" collapsed="false">
      <c r="A9" s="4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customFormat="false" ht="15" hidden="false" customHeight="false" outlineLevel="0" collapsed="false">
      <c r="A10" s="6"/>
      <c r="B10" s="7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5" hidden="false" customHeight="false" outlineLevel="0" collapsed="false">
      <c r="A11" s="4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5" hidden="false" customHeight="false" outlineLevel="0" collapsed="false">
      <c r="A12" s="6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customFormat="false" ht="15" hidden="false" customHeight="false" outlineLevel="0" collapsed="false">
      <c r="A13" s="4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15" hidden="false" customHeight="false" outlineLevel="0" collapsed="false">
      <c r="A14" s="6"/>
      <c r="B14" s="7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customFormat="false" ht="15" hidden="false" customHeight="false" outlineLevel="0" collapsed="false">
      <c r="A15" s="4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customFormat="false" ht="15" hidden="false" customHeight="false" outlineLevel="0" collapsed="false">
      <c r="A16" s="6"/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customFormat="false" ht="15" hidden="false" customHeight="false" outlineLevel="0" collapsed="false">
      <c r="A17" s="4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customFormat="false" ht="15" hidden="false" customHeight="false" outlineLevel="0" collapsed="false">
      <c r="A18" s="6"/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customFormat="false" ht="15" hidden="false" customHeight="false" outlineLevel="0" collapsed="false">
      <c r="A19" s="4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customFormat="false" ht="15" hidden="false" customHeight="false" outlineLevel="0" collapsed="false">
      <c r="A20" s="6"/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customFormat="false" ht="15" hidden="false" customHeight="false" outlineLevel="0" collapsed="false">
      <c r="A21" s="4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customFormat="false" ht="15" hidden="false" customHeight="false" outlineLevel="0" collapsed="false">
      <c r="A22" s="6"/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customFormat="false" ht="15" hidden="false" customHeight="false" outlineLevel="0" collapsed="false">
      <c r="A23" s="4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customFormat="false" ht="15" hidden="false" customHeight="false" outlineLevel="0" collapsed="false">
      <c r="A24" s="6"/>
      <c r="B24" s="7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customFormat="false" ht="15" hidden="false" customHeight="false" outlineLevel="0" collapsed="false">
      <c r="A25" s="4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customFormat="false" ht="15" hidden="false" customHeight="false" outlineLevel="0" collapsed="false">
      <c r="A26" s="6"/>
      <c r="B26" s="7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customFormat="false" ht="15" hidden="false" customHeight="false" outlineLevel="0" collapsed="false">
      <c r="A27" s="4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customFormat="false" ht="15" hidden="false" customHeight="false" outlineLevel="0" collapsed="false">
      <c r="A28" s="6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customFormat="false" ht="15" hidden="false" customHeight="false" outlineLevel="0" collapsed="false">
      <c r="A29" s="4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customFormat="false" ht="15" hidden="false" customHeight="false" outlineLevel="0" collapsed="false">
      <c r="A30" s="6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customFormat="false" ht="15" hidden="false" customHeight="false" outlineLevel="0" collapsed="false">
      <c r="A31" s="4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customFormat="false" ht="15" hidden="false" customHeight="false" outlineLevel="0" collapsed="false">
      <c r="A32" s="6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customFormat="false" ht="15" hidden="false" customHeight="false" outlineLevel="0" collapsed="false">
      <c r="A33" s="4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customFormat="false" ht="15" hidden="false" customHeight="false" outlineLevel="0" collapsed="false">
      <c r="A34" s="6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customFormat="false" ht="15" hidden="false" customHeight="false" outlineLevel="0" collapsed="false">
      <c r="A35" s="4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customFormat="false" ht="15" hidden="false" customHeight="false" outlineLevel="0" collapsed="false">
      <c r="A36" s="6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customFormat="false" ht="15" hidden="false" customHeight="false" outlineLevel="0" collapsed="false">
      <c r="A37" s="4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customFormat="false" ht="15" hidden="false" customHeight="false" outlineLevel="0" collapsed="false">
      <c r="A38" s="6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customFormat="false" ht="15" hidden="false" customHeight="false" outlineLevel="0" collapsed="false">
      <c r="A39" s="4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customFormat="false" ht="15" hidden="false" customHeight="false" outlineLevel="0" collapsed="false">
      <c r="A40" s="6"/>
      <c r="B40" s="7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customFormat="false" ht="15" hidden="false" customHeight="false" outlineLevel="0" collapsed="false">
      <c r="A41" s="4"/>
      <c r="B41" s="5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customFormat="false" ht="15" hidden="false" customHeight="false" outlineLevel="0" collapsed="false">
      <c r="A42" s="6"/>
      <c r="B42" s="7"/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customFormat="false" ht="15" hidden="false" customHeight="false" outlineLevel="0" collapsed="false">
      <c r="A43" s="4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customFormat="false" ht="15" hidden="false" customHeight="false" outlineLevel="0" collapsed="false">
      <c r="A44" s="6"/>
      <c r="B44" s="7"/>
      <c r="C44" s="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</sheetData>
  <mergeCells count="2">
    <mergeCell ref="A1:U1"/>
    <mergeCell ref="A2:U2"/>
  </mergeCells>
  <dataValidations count="1">
    <dataValidation allowBlank="true" errorStyle="stop" operator="between" showDropDown="false" showErrorMessage="false" showInputMessage="false" sqref="A5:A44" type="list">
      <formula1>'Clients - Adresses'!$A$5:$A$44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20" min="4" style="0" width="15"/>
    <col collapsed="false" customWidth="true" hidden="false" outlineLevel="0" max="21" min="2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3.75" hidden="false" customHeight="true" outlineLevel="0" collapsed="false">
      <c r="A4" s="3" t="s">
        <v>2</v>
      </c>
      <c r="B4" s="3" t="s">
        <v>17</v>
      </c>
      <c r="C4" s="3" t="s">
        <v>18</v>
      </c>
      <c r="D4" s="3" t="s">
        <v>20</v>
      </c>
      <c r="E4" s="3" t="s">
        <v>37</v>
      </c>
      <c r="F4" s="3" t="s">
        <v>38</v>
      </c>
      <c r="G4" s="3" t="s">
        <v>39</v>
      </c>
      <c r="H4" s="3" t="s">
        <v>21</v>
      </c>
      <c r="I4" s="3" t="s">
        <v>22</v>
      </c>
      <c r="J4" s="3" t="s">
        <v>40</v>
      </c>
      <c r="K4" s="3" t="s">
        <v>23</v>
      </c>
      <c r="L4" s="3" t="s">
        <v>24</v>
      </c>
      <c r="M4" s="3" t="s">
        <v>41</v>
      </c>
      <c r="N4" s="3" t="s">
        <v>25</v>
      </c>
      <c r="O4" s="3" t="s">
        <v>42</v>
      </c>
      <c r="P4" s="3" t="s">
        <v>27</v>
      </c>
      <c r="Q4" s="3" t="s">
        <v>43</v>
      </c>
      <c r="R4" s="3" t="s">
        <v>44</v>
      </c>
      <c r="S4" s="3" t="s">
        <v>30</v>
      </c>
      <c r="T4" s="3" t="s">
        <v>45</v>
      </c>
      <c r="U4" s="3" t="s">
        <v>15</v>
      </c>
    </row>
    <row r="5" customFormat="false" ht="15" hidden="false" customHeight="false" outlineLevel="0" collapsed="false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5" hidden="false" customHeight="false" outlineLevel="0" collapsed="false">
      <c r="A6" s="6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customFormat="false" ht="15" hidden="false" customHeight="false" outlineLevel="0" collapsed="false">
      <c r="A7" s="4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customFormat="false" ht="15" hidden="false" customHeight="false" outlineLevel="0" collapsed="false">
      <c r="A8" s="6"/>
      <c r="B8" s="7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customFormat="false" ht="15" hidden="false" customHeight="false" outlineLevel="0" collapsed="false">
      <c r="A9" s="4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customFormat="false" ht="15" hidden="false" customHeight="false" outlineLevel="0" collapsed="false">
      <c r="A10" s="6"/>
      <c r="B10" s="7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5" hidden="false" customHeight="false" outlineLevel="0" collapsed="false">
      <c r="A11" s="4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5" hidden="false" customHeight="false" outlineLevel="0" collapsed="false">
      <c r="A12" s="6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customFormat="false" ht="15" hidden="false" customHeight="false" outlineLevel="0" collapsed="false">
      <c r="A13" s="4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15" hidden="false" customHeight="false" outlineLevel="0" collapsed="false">
      <c r="A14" s="6"/>
      <c r="B14" s="7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customFormat="false" ht="15" hidden="false" customHeight="false" outlineLevel="0" collapsed="false">
      <c r="A15" s="4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customFormat="false" ht="15" hidden="false" customHeight="false" outlineLevel="0" collapsed="false">
      <c r="A16" s="6"/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customFormat="false" ht="15" hidden="false" customHeight="false" outlineLevel="0" collapsed="false">
      <c r="A17" s="4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customFormat="false" ht="15" hidden="false" customHeight="false" outlineLevel="0" collapsed="false">
      <c r="A18" s="6"/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customFormat="false" ht="15" hidden="false" customHeight="false" outlineLevel="0" collapsed="false">
      <c r="A19" s="4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customFormat="false" ht="15" hidden="false" customHeight="false" outlineLevel="0" collapsed="false">
      <c r="A20" s="6"/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customFormat="false" ht="15" hidden="false" customHeight="false" outlineLevel="0" collapsed="false">
      <c r="A21" s="4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customFormat="false" ht="15" hidden="false" customHeight="false" outlineLevel="0" collapsed="false">
      <c r="A22" s="6"/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customFormat="false" ht="15" hidden="false" customHeight="false" outlineLevel="0" collapsed="false">
      <c r="A23" s="4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customFormat="false" ht="15" hidden="false" customHeight="false" outlineLevel="0" collapsed="false">
      <c r="A24" s="6"/>
      <c r="B24" s="7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customFormat="false" ht="15" hidden="false" customHeight="false" outlineLevel="0" collapsed="false">
      <c r="A25" s="4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customFormat="false" ht="15" hidden="false" customHeight="false" outlineLevel="0" collapsed="false">
      <c r="A26" s="6"/>
      <c r="B26" s="7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customFormat="false" ht="15" hidden="false" customHeight="false" outlineLevel="0" collapsed="false">
      <c r="A27" s="4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customFormat="false" ht="15" hidden="false" customHeight="false" outlineLevel="0" collapsed="false">
      <c r="A28" s="6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customFormat="false" ht="15" hidden="false" customHeight="false" outlineLevel="0" collapsed="false">
      <c r="A29" s="4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customFormat="false" ht="15" hidden="false" customHeight="false" outlineLevel="0" collapsed="false">
      <c r="A30" s="6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customFormat="false" ht="15" hidden="false" customHeight="false" outlineLevel="0" collapsed="false">
      <c r="A31" s="4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customFormat="false" ht="15" hidden="false" customHeight="false" outlineLevel="0" collapsed="false">
      <c r="A32" s="6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customFormat="false" ht="15" hidden="false" customHeight="false" outlineLevel="0" collapsed="false">
      <c r="A33" s="4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customFormat="false" ht="15" hidden="false" customHeight="false" outlineLevel="0" collapsed="false">
      <c r="A34" s="6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customFormat="false" ht="15" hidden="false" customHeight="false" outlineLevel="0" collapsed="false">
      <c r="A35" s="4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customFormat="false" ht="15" hidden="false" customHeight="false" outlineLevel="0" collapsed="false">
      <c r="A36" s="6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customFormat="false" ht="15" hidden="false" customHeight="false" outlineLevel="0" collapsed="false">
      <c r="A37" s="4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customFormat="false" ht="15" hidden="false" customHeight="false" outlineLevel="0" collapsed="false">
      <c r="A38" s="6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customFormat="false" ht="15" hidden="false" customHeight="false" outlineLevel="0" collapsed="false">
      <c r="A39" s="4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customFormat="false" ht="15" hidden="false" customHeight="false" outlineLevel="0" collapsed="false">
      <c r="A40" s="6"/>
      <c r="B40" s="7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customFormat="false" ht="15" hidden="false" customHeight="false" outlineLevel="0" collapsed="false">
      <c r="A41" s="4"/>
      <c r="B41" s="5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customFormat="false" ht="15" hidden="false" customHeight="false" outlineLevel="0" collapsed="false">
      <c r="A42" s="6"/>
      <c r="B42" s="7"/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customFormat="false" ht="15" hidden="false" customHeight="false" outlineLevel="0" collapsed="false">
      <c r="A43" s="4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customFormat="false" ht="15" hidden="false" customHeight="false" outlineLevel="0" collapsed="false">
      <c r="A44" s="6"/>
      <c r="B44" s="7"/>
      <c r="C44" s="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</sheetData>
  <mergeCells count="2">
    <mergeCell ref="A1:U1"/>
    <mergeCell ref="A2:U2"/>
  </mergeCells>
  <dataValidations count="1">
    <dataValidation allowBlank="true" errorStyle="stop" operator="between" showDropDown="false" showErrorMessage="false" showInputMessage="false" sqref="A5:A44" type="list">
      <formula1>'Clients - Adresses'!$A$5:$A$44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2026-07-03T20:22:32Z</dcterms:created>
  <dc:creator>openpyxl</dc:creator>
  <dc:description/>
  <dc:language>en-US</dc:language>
  <cp:lastModifiedBy/>
  <dcterms:modified xsi:type="dcterms:W3CDTF">2026-07-03T20:22:32Z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